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$#,##0.000000;($#,##0.000000);&quot;-&quot;"/>
    <numFmt numFmtId="166" formatCode="#,##0;(#,##0);&quot;-&quot;"/>
    <numFmt numFmtId="167" formatCode="0.0"/>
    <numFmt numFmtId="168" formatCode="0.0%;(0.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888888"/>
      <sz val="9"/>
    </font>
    <font>
      <name val="Arial"/>
      <i val="1"/>
      <color rgb="00888888"/>
      <sz val="9"/>
    </font>
    <font>
      <name val="Arial"/>
      <b val="1"/>
      <color rgb="001F4E79"/>
      <sz val="10"/>
    </font>
    <font>
      <name val="Arial"/>
      <i val="1"/>
      <color rgb="00555555"/>
      <sz val="9"/>
    </font>
    <font>
      <name val="Arial"/>
      <color rgb="00008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6" fillId="0" borderId="0" pivotButton="0" quotePrefix="0" xfId="0"/>
    <xf numFmtId="167" fontId="6" fillId="0" borderId="0" pivotButton="0" quotePrefix="0" xfId="0"/>
    <xf numFmtId="166" fontId="6" fillId="3" borderId="0" pivotButton="0" quotePrefix="0" xfId="0"/>
    <xf numFmtId="168" fontId="6" fillId="3" borderId="0" pivotButton="0" quotePrefix="0" xfId="0"/>
    <xf numFmtId="168" fontId="6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9" fillId="4" borderId="0" pivotButton="0" quotePrefix="0" xfId="0"/>
    <xf numFmtId="0" fontId="0" fillId="4" borderId="0" pivotButton="0" quotePrefix="0" xfId="0"/>
    <xf numFmtId="0" fontId="10" fillId="0" borderId="0" pivotButton="0" quotePrefix="0" xfId="0"/>
    <xf numFmtId="164" fontId="11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12" fillId="2" borderId="0" pivotButton="0" quotePrefix="0" xfId="0"/>
    <xf numFmtId="164" fontId="12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62" customWidth="1" min="4" max="4"/>
  </cols>
  <sheetData>
    <row r="1">
      <c r="A1" s="1" t="inlineStr">
        <is>
          <t>NutraComply — Railway Hosting Cost Assumptions</t>
        </is>
      </c>
    </row>
    <row r="2">
      <c r="A2" s="2" t="inlineStr">
        <is>
          <t>Blue = editable input  |  Yellow background = key assumption  |  Prices in USD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Notes</t>
        </is>
      </c>
    </row>
    <row r="5">
      <c r="A5" s="4" t="inlineStr">
        <is>
          <t>A. Railway Platform Pricing</t>
        </is>
      </c>
      <c r="B5" s="5" t="n"/>
      <c r="C5" s="5" t="n"/>
      <c r="D5" s="5" t="n"/>
    </row>
    <row r="6">
      <c r="A6" s="6" t="inlineStr">
        <is>
          <t>Railway Hobby Plan fee</t>
        </is>
      </c>
      <c r="B6" s="7" t="n">
        <v>5</v>
      </c>
      <c r="C6" s="8" t="inlineStr">
        <is>
          <t>$/month</t>
        </is>
      </c>
      <c r="D6" s="9" t="inlineStr">
        <is>
          <t>Source: Railway.app pricing, Mar 2026</t>
        </is>
      </c>
    </row>
    <row r="7">
      <c r="A7" s="6" t="inlineStr">
        <is>
          <t>RAM price</t>
        </is>
      </c>
      <c r="B7" s="10" t="n">
        <v>0.000231</v>
      </c>
      <c r="C7" s="8" t="inlineStr">
        <is>
          <t>$/GB/min</t>
        </is>
      </c>
      <c r="D7" s="9" t="inlineStr">
        <is>
          <t>Source: Railway.app pricing, Mar 2026</t>
        </is>
      </c>
    </row>
    <row r="8">
      <c r="A8" s="6" t="inlineStr">
        <is>
          <t>vCPU price</t>
        </is>
      </c>
      <c r="B8" s="10" t="n">
        <v>0.000463</v>
      </c>
      <c r="C8" s="8" t="inlineStr">
        <is>
          <t>$/vCPU/min</t>
        </is>
      </c>
      <c r="D8" s="9" t="inlineStr">
        <is>
          <t>Source: Railway.app pricing, Mar 2026</t>
        </is>
      </c>
    </row>
    <row r="9">
      <c r="A9" s="6" t="inlineStr">
        <is>
          <t>Hours per month (avg)</t>
        </is>
      </c>
      <c r="B9" s="11" t="n">
        <v>720</v>
      </c>
      <c r="C9" s="8" t="inlineStr">
        <is>
          <t>hours</t>
        </is>
      </c>
      <c r="D9" s="9" t="inlineStr">
        <is>
          <t>30 days × 24 hrs</t>
        </is>
      </c>
    </row>
    <row r="10">
      <c r="A10" s="4" t="inlineStr">
        <is>
          <t>B. Railway Service Specifications</t>
        </is>
      </c>
      <c r="B10" s="5" t="n"/>
      <c r="C10" s="5" t="n"/>
      <c r="D10" s="5" t="n"/>
    </row>
    <row r="11">
      <c r="A11" s="6" t="inlineStr">
        <is>
          <t>Web App — RAM (GB)</t>
        </is>
      </c>
      <c r="B11" s="12" t="n">
        <v>1</v>
      </c>
      <c r="C11" s="8" t="inlineStr">
        <is>
          <t>GB</t>
        </is>
      </c>
      <c r="D11" s="9" t="inlineStr">
        <is>
          <t>PaddleOCR requires ≥1 GB RAM</t>
        </is>
      </c>
    </row>
    <row r="12">
      <c r="A12" s="6" t="inlineStr">
        <is>
          <t>Web App — vCPU</t>
        </is>
      </c>
      <c r="B12" s="13" t="n">
        <v>0.5</v>
      </c>
      <c r="C12" s="8" t="inlineStr">
        <is>
          <t>vCPU</t>
        </is>
      </c>
      <c r="D12" s="9" t="inlineStr">
        <is>
          <t>Railway shared CPU default</t>
        </is>
      </c>
    </row>
    <row r="13">
      <c r="A13" s="6" t="inlineStr">
        <is>
          <t>Celery Worker — RAM (GB)</t>
        </is>
      </c>
      <c r="B13" s="14" t="n">
        <v>0.5</v>
      </c>
      <c r="C13" s="8" t="inlineStr">
        <is>
          <t>GB</t>
        </is>
      </c>
      <c r="D13" s="9" t="inlineStr">
        <is>
          <t>Background processing service</t>
        </is>
      </c>
    </row>
    <row r="14">
      <c r="A14" s="6" t="inlineStr">
        <is>
          <t>Celery Worker — vCPU</t>
        </is>
      </c>
      <c r="B14" s="13" t="n">
        <v>0.25</v>
      </c>
      <c r="C14" s="8" t="inlineStr">
        <is>
          <t>vCPU</t>
        </is>
      </c>
      <c r="D14" s="9" t="inlineStr">
        <is>
          <t>Railway default</t>
        </is>
      </c>
    </row>
    <row r="15">
      <c r="A15" s="6" t="inlineStr">
        <is>
          <t>PostgreSQL — RAM (GB)</t>
        </is>
      </c>
      <c r="B15" s="14" t="n">
        <v>0.5</v>
      </c>
      <c r="C15" s="8" t="inlineStr">
        <is>
          <t>GB</t>
        </is>
      </c>
      <c r="D15" s="9" t="inlineStr">
        <is>
          <t>Railway PostgreSQL plugin</t>
        </is>
      </c>
    </row>
    <row r="16">
      <c r="A16" s="6" t="inlineStr">
        <is>
          <t>PostgreSQL — vCPU</t>
        </is>
      </c>
      <c r="B16" s="13" t="n">
        <v>0.1</v>
      </c>
      <c r="C16" s="8" t="inlineStr">
        <is>
          <t>vCPU</t>
        </is>
      </c>
      <c r="D16" s="9" t="inlineStr">
        <is>
          <t>Railway PostgreSQL plugin</t>
        </is>
      </c>
    </row>
    <row r="17">
      <c r="A17" s="6" t="inlineStr">
        <is>
          <t>Redis — RAM (GB)</t>
        </is>
      </c>
      <c r="B17" s="14" t="n">
        <v>0.25</v>
      </c>
      <c r="C17" s="8" t="inlineStr">
        <is>
          <t>GB</t>
        </is>
      </c>
      <c r="D17" s="9" t="inlineStr">
        <is>
          <t>Railway Redis plugin</t>
        </is>
      </c>
    </row>
    <row r="18">
      <c r="A18" s="6" t="inlineStr">
        <is>
          <t>Redis — vCPU</t>
        </is>
      </c>
      <c r="B18" s="13" t="n">
        <v>0.05</v>
      </c>
      <c r="C18" s="8" t="inlineStr">
        <is>
          <t>vCPU</t>
        </is>
      </c>
      <c r="D18" s="9" t="inlineStr">
        <is>
          <t>Railway Redis plugin</t>
        </is>
      </c>
    </row>
    <row r="19">
      <c r="A19" s="4" t="inlineStr">
        <is>
          <t>C. Network Egress</t>
        </is>
      </c>
      <c r="B19" s="5" t="n"/>
      <c r="C19" s="5" t="n"/>
      <c r="D19" s="5" t="n"/>
    </row>
    <row r="20">
      <c r="A20" s="6" t="inlineStr">
        <is>
          <t>Free egress per month</t>
        </is>
      </c>
      <c r="B20" s="11" t="n">
        <v>100</v>
      </c>
      <c r="C20" s="8" t="inlineStr">
        <is>
          <t>GB</t>
        </is>
      </c>
      <c r="D20" s="9" t="inlineStr">
        <is>
          <t>Source: Railway.app pricing, Mar 2026</t>
        </is>
      </c>
    </row>
    <row r="21">
      <c r="A21" s="6" t="inlineStr">
        <is>
          <t>Overage price</t>
        </is>
      </c>
      <c r="B21" s="7" t="n">
        <v>0.1</v>
      </c>
      <c r="C21" s="8" t="inlineStr">
        <is>
          <t>$/GB</t>
        </is>
      </c>
      <c r="D21" s="9" t="inlineStr">
        <is>
          <t>Source: Railway.app pricing, Mar 2026</t>
        </is>
      </c>
    </row>
    <row r="22">
      <c r="A22" s="6" t="inlineStr">
        <is>
          <t>Estimated egress — Month 1</t>
        </is>
      </c>
      <c r="B22" s="15" t="n">
        <v>5</v>
      </c>
      <c r="C22" s="8" t="inlineStr">
        <is>
          <t>GB</t>
        </is>
      </c>
      <c r="D22" s="9" t="inlineStr">
        <is>
          <t>Assumption: low initial traffic</t>
        </is>
      </c>
    </row>
    <row r="23">
      <c r="A23" s="6" t="inlineStr">
        <is>
          <t>Egress growth rate (MoM)</t>
        </is>
      </c>
      <c r="B23" s="16" t="n">
        <v>0.25</v>
      </c>
      <c r="C23" s="8" t="inlineStr">
        <is>
          <t>fraction</t>
        </is>
      </c>
      <c r="D23" s="9" t="inlineStr">
        <is>
          <t>Assumption: 25% MoM growth</t>
        </is>
      </c>
    </row>
    <row r="24">
      <c r="A24" s="4" t="inlineStr">
        <is>
          <t>D. Usage Volume</t>
        </is>
      </c>
      <c r="B24" s="5" t="n"/>
      <c r="C24" s="5" t="n"/>
      <c r="D24" s="5" t="n"/>
    </row>
    <row r="25">
      <c r="A25" s="6" t="inlineStr">
        <is>
          <t>Label analyses — Month 1</t>
        </is>
      </c>
      <c r="B25" s="15" t="n">
        <v>50</v>
      </c>
      <c r="C25" s="8" t="inlineStr">
        <is>
          <t>analyses</t>
        </is>
      </c>
      <c r="D25" s="9" t="inlineStr">
        <is>
          <t>Assumption: beta launch</t>
        </is>
      </c>
    </row>
    <row r="26">
      <c r="A26" s="6" t="inlineStr">
        <is>
          <t>Analyses growth rate (MoM)</t>
        </is>
      </c>
      <c r="B26" s="16" t="n">
        <v>0.2</v>
      </c>
      <c r="C26" s="8" t="inlineStr">
        <is>
          <t>fraction</t>
        </is>
      </c>
      <c r="D26" s="9" t="inlineStr">
        <is>
          <t>Assumption: 20% MoM growth</t>
        </is>
      </c>
    </row>
    <row r="27">
      <c r="A27" s="6" t="inlineStr">
        <is>
          <t>Email alerts — Month 1</t>
        </is>
      </c>
      <c r="B27" s="11" t="n">
        <v>20</v>
      </c>
      <c r="C27" s="8" t="inlineStr">
        <is>
          <t>emails</t>
        </is>
      </c>
      <c r="D27" s="9" t="inlineStr">
        <is>
          <t>Assumption</t>
        </is>
      </c>
    </row>
    <row r="28">
      <c r="A28" s="4" t="inlineStr">
        <is>
          <t>E. Google Gemini API (Flash)</t>
        </is>
      </c>
      <c r="B28" s="5" t="n"/>
      <c r="C28" s="5" t="n"/>
      <c r="D28" s="5" t="n"/>
    </row>
    <row r="29">
      <c r="A29" s="6" t="inlineStr">
        <is>
          <t>Tokens per analysis (blended)</t>
        </is>
      </c>
      <c r="B29" s="11" t="n">
        <v>5000</v>
      </c>
      <c r="C29" s="8" t="inlineStr">
        <is>
          <t>tokens</t>
        </is>
      </c>
      <c r="D29" s="9" t="inlineStr">
        <is>
          <t>Estimate: prompt + OCR text + response</t>
        </is>
      </c>
    </row>
    <row r="30">
      <c r="A30" s="6" t="inlineStr">
        <is>
          <t>Input token price</t>
        </is>
      </c>
      <c r="B30" s="7" t="n">
        <v>0.075</v>
      </c>
      <c r="C30" s="8" t="inlineStr">
        <is>
          <t>$/1M tokens</t>
        </is>
      </c>
      <c r="D30" s="9" t="inlineStr">
        <is>
          <t>Source: Google AI Studio pricing, Mar 2026</t>
        </is>
      </c>
    </row>
    <row r="31">
      <c r="A31" s="6" t="inlineStr">
        <is>
          <t>Output token price</t>
        </is>
      </c>
      <c r="B31" s="7" t="n">
        <v>0.3</v>
      </c>
      <c r="C31" s="8" t="inlineStr">
        <is>
          <t>$/1M tokens</t>
        </is>
      </c>
      <c r="D31" s="9" t="inlineStr">
        <is>
          <t>Source: Google AI Studio pricing, Mar 2026</t>
        </is>
      </c>
    </row>
    <row r="32">
      <c r="A32" s="6" t="inlineStr">
        <is>
          <t>Input / output token split (input %)</t>
        </is>
      </c>
      <c r="B32" s="17" t="n">
        <v>0.7</v>
      </c>
      <c r="C32" s="8" t="inlineStr">
        <is>
          <t>fraction</t>
        </is>
      </c>
      <c r="D32" s="9" t="inlineStr">
        <is>
          <t>Assumption: 70% input tokens</t>
        </is>
      </c>
    </row>
    <row r="33">
      <c r="A33" s="6" t="inlineStr">
        <is>
          <t>Free-tier analyses threshold</t>
        </is>
      </c>
      <c r="B33" s="11" t="n">
        <v>500</v>
      </c>
      <c r="C33" s="8" t="inlineStr">
        <is>
          <t>analyses/mo</t>
        </is>
      </c>
      <c r="D33" s="9" t="inlineStr">
        <is>
          <t>Gemini Flash free: 15 RPM; ample for early usage</t>
        </is>
      </c>
    </row>
    <row r="34">
      <c r="A34" s="4" t="inlineStr">
        <is>
          <t>F. File Storage (Cloudflare R2)</t>
        </is>
      </c>
      <c r="B34" s="5" t="n"/>
      <c r="C34" s="5" t="n"/>
      <c r="D34" s="5" t="n"/>
    </row>
    <row r="35">
      <c r="A35" s="6" t="inlineStr">
        <is>
          <t>Average label file size</t>
        </is>
      </c>
      <c r="B35" s="14" t="n">
        <v>2</v>
      </c>
      <c r="C35" s="8" t="inlineStr">
        <is>
          <t>MB/file</t>
        </is>
      </c>
      <c r="D35" s="9" t="inlineStr">
        <is>
          <t>Assumption: typical PDF or image</t>
        </is>
      </c>
    </row>
    <row r="36">
      <c r="A36" s="6" t="inlineStr">
        <is>
          <t>R2 free storage tier</t>
        </is>
      </c>
      <c r="B36" s="11" t="n">
        <v>10</v>
      </c>
      <c r="C36" s="8" t="inlineStr">
        <is>
          <t>GB</t>
        </is>
      </c>
      <c r="D36" s="9" t="inlineStr">
        <is>
          <t>Source: Cloudflare R2 pricing, Mar 2026</t>
        </is>
      </c>
    </row>
    <row r="37">
      <c r="A37" s="6" t="inlineStr">
        <is>
          <t>R2 storage price (over free)</t>
        </is>
      </c>
      <c r="B37" s="7" t="n">
        <v>0.015</v>
      </c>
      <c r="C37" s="8" t="inlineStr">
        <is>
          <t>$/GB/month</t>
        </is>
      </c>
      <c r="D37" s="9" t="inlineStr">
        <is>
          <t>Source: Cloudflare R2 pricing, Mar 2026</t>
        </is>
      </c>
    </row>
    <row r="38">
      <c r="A38" s="4" t="inlineStr">
        <is>
          <t>G. Brevo Email (SMTP)</t>
        </is>
      </c>
      <c r="B38" s="5" t="n"/>
      <c r="C38" s="5" t="n"/>
      <c r="D38" s="5" t="n"/>
    </row>
    <row r="39">
      <c r="A39" s="6" t="inlineStr">
        <is>
          <t>Brevo free tier (emails/month)</t>
        </is>
      </c>
      <c r="B39" s="11" t="n">
        <v>9000</v>
      </c>
      <c r="C39" s="8" t="inlineStr">
        <is>
          <t>emails</t>
        </is>
      </c>
      <c r="D39" s="9" t="inlineStr">
        <is>
          <t>Source: Brevo.com pricing, Mar 2026</t>
        </is>
      </c>
    </row>
    <row r="40">
      <c r="A40" s="6" t="inlineStr">
        <is>
          <t>Brevo Starter plan cost (if exceeded)</t>
        </is>
      </c>
      <c r="B40" s="7" t="n">
        <v>25</v>
      </c>
      <c r="C40" s="8" t="inlineStr">
        <is>
          <t>$/month</t>
        </is>
      </c>
      <c r="D40" s="9" t="inlineStr">
        <is>
          <t>Source: Brevo.com pricing, Mar 2026</t>
        </is>
      </c>
    </row>
    <row r="41">
      <c r="A41" s="4" t="inlineStr">
        <is>
          <t>H. Domain &amp; Miscellaneous</t>
        </is>
      </c>
      <c r="B41" s="5" t="n"/>
      <c r="C41" s="5" t="n"/>
      <c r="D41" s="5" t="n"/>
    </row>
    <row r="42">
      <c r="A42" s="6" t="inlineStr">
        <is>
          <t>Domain registration (annual cost)</t>
        </is>
      </c>
      <c r="B42" s="7" t="n">
        <v>12</v>
      </c>
      <c r="C42" s="8" t="inlineStr">
        <is>
          <t>$</t>
        </is>
      </c>
      <c r="D42" s="9" t="inlineStr">
        <is>
          <t>Source: Namecheap.com estimate, Mar 2026</t>
        </is>
      </c>
    </row>
    <row r="43">
      <c r="A43" s="6" t="inlineStr">
        <is>
          <t>Monitoring / Sentry (free tier)</t>
        </is>
      </c>
      <c r="B43" s="7" t="n">
        <v>0</v>
      </c>
      <c r="C43" s="8" t="inlineStr">
        <is>
          <t>$/month</t>
        </is>
      </c>
      <c r="D43" s="9" t="inlineStr">
        <is>
          <t>Free for hobby projects; upgrade ~$26/mo at scale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NutraComply — 6-Month Hosting Cost Model  (Apr – Sep 2026)</t>
        </is>
      </c>
    </row>
    <row r="2">
      <c r="A2" s="2" t="inlineStr">
        <is>
          <t>Blue = hardcoded input  |  Black = formula  |  Green = cross-sheet link  |  All figures in USD</t>
        </is>
      </c>
    </row>
    <row r="4">
      <c r="A4" s="18" t="inlineStr">
        <is>
          <t>Cost Category</t>
        </is>
      </c>
      <c r="B4" s="18" t="inlineStr">
        <is>
          <t>Notes / Driver</t>
        </is>
      </c>
      <c r="C4" s="18" t="inlineStr">
        <is>
          <t>Apr 2026</t>
        </is>
      </c>
      <c r="D4" s="18" t="inlineStr">
        <is>
          <t>May 2026</t>
        </is>
      </c>
      <c r="E4" s="18" t="inlineStr">
        <is>
          <t>Jun 2026</t>
        </is>
      </c>
      <c r="F4" s="18" t="inlineStr">
        <is>
          <t>Jul 2026</t>
        </is>
      </c>
      <c r="G4" s="18" t="inlineStr">
        <is>
          <t>Aug 2026</t>
        </is>
      </c>
      <c r="H4" s="18" t="inlineStr">
        <is>
          <t>Sep 2026</t>
        </is>
      </c>
      <c r="I4" s="18" t="inlineStr">
        <is>
          <t>6-Mo Total</t>
        </is>
      </c>
    </row>
    <row r="5">
      <c r="A5" s="19" t="inlineStr">
        <is>
          <t>1.  Railway Infrastructure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</row>
    <row r="6">
      <c r="A6" s="6" t="inlineStr">
        <is>
          <t xml:space="preserve">  Platform Fee (Hobby Plan)</t>
        </is>
      </c>
      <c r="B6" s="21" t="inlineStr">
        <is>
          <t>Flat monthly fee</t>
        </is>
      </c>
      <c r="C6" s="22">
        <f>Assumptions!$B$6</f>
        <v/>
      </c>
      <c r="D6" s="22">
        <f>Assumptions!$B$6</f>
        <v/>
      </c>
      <c r="E6" s="22">
        <f>Assumptions!$B$6</f>
        <v/>
      </c>
      <c r="F6" s="22">
        <f>Assumptions!$B$6</f>
        <v/>
      </c>
      <c r="G6" s="22">
        <f>Assumptions!$B$6</f>
        <v/>
      </c>
      <c r="H6" s="22">
        <f>Assumptions!$B$6</f>
        <v/>
      </c>
      <c r="I6" s="23">
        <f>SUM(C6:H6)</f>
        <v/>
      </c>
    </row>
    <row r="7">
      <c r="A7" s="6" t="inlineStr">
        <is>
          <t xml:space="preserve">  Web App Service</t>
        </is>
      </c>
      <c r="B7" s="21" t="inlineStr">
        <is>
          <t>RAM + CPU × 60 min × hrs/mo</t>
        </is>
      </c>
      <c r="C7" s="22">
        <f>(Assumptions!$B$11*Assumptions!$B$7+Assumptions!$B$12*Assumptions!$B$8)*60*Assumptions!$B$9</f>
        <v/>
      </c>
      <c r="D7" s="22">
        <f>(Assumptions!$B$11*Assumptions!$B$7+Assumptions!$B$12*Assumptions!$B$8)*60*Assumptions!$B$9</f>
        <v/>
      </c>
      <c r="E7" s="22">
        <f>(Assumptions!$B$11*Assumptions!$B$7+Assumptions!$B$12*Assumptions!$B$8)*60*Assumptions!$B$9</f>
        <v/>
      </c>
      <c r="F7" s="22">
        <f>(Assumptions!$B$11*Assumptions!$B$7+Assumptions!$B$12*Assumptions!$B$8)*60*Assumptions!$B$9</f>
        <v/>
      </c>
      <c r="G7" s="22">
        <f>(Assumptions!$B$11*Assumptions!$B$7+Assumptions!$B$12*Assumptions!$B$8)*60*Assumptions!$B$9</f>
        <v/>
      </c>
      <c r="H7" s="22">
        <f>(Assumptions!$B$11*Assumptions!$B$7+Assumptions!$B$12*Assumptions!$B$8)*60*Assumptions!$B$9</f>
        <v/>
      </c>
      <c r="I7" s="23">
        <f>SUM(C7:H7)</f>
        <v/>
      </c>
    </row>
    <row r="8">
      <c r="A8" s="6" t="inlineStr">
        <is>
          <t xml:space="preserve">  PostgreSQL Database</t>
        </is>
      </c>
      <c r="B8" s="21" t="inlineStr">
        <is>
          <t>RAM + CPU × 60 min × hrs/mo</t>
        </is>
      </c>
      <c r="C8" s="22">
        <f>(Assumptions!$B$15*Assumptions!$B$7+Assumptions!$B$16*Assumptions!$B$8)*60*Assumptions!$B$9</f>
        <v/>
      </c>
      <c r="D8" s="22">
        <f>(Assumptions!$B$15*Assumptions!$B$7+Assumptions!$B$16*Assumptions!$B$8)*60*Assumptions!$B$9</f>
        <v/>
      </c>
      <c r="E8" s="22">
        <f>(Assumptions!$B$15*Assumptions!$B$7+Assumptions!$B$16*Assumptions!$B$8)*60*Assumptions!$B$9</f>
        <v/>
      </c>
      <c r="F8" s="22">
        <f>(Assumptions!$B$15*Assumptions!$B$7+Assumptions!$B$16*Assumptions!$B$8)*60*Assumptions!$B$9</f>
        <v/>
      </c>
      <c r="G8" s="22">
        <f>(Assumptions!$B$15*Assumptions!$B$7+Assumptions!$B$16*Assumptions!$B$8)*60*Assumptions!$B$9</f>
        <v/>
      </c>
      <c r="H8" s="22">
        <f>(Assumptions!$B$15*Assumptions!$B$7+Assumptions!$B$16*Assumptions!$B$8)*60*Assumptions!$B$9</f>
        <v/>
      </c>
      <c r="I8" s="23">
        <f>SUM(C8:H8)</f>
        <v/>
      </c>
    </row>
    <row r="9">
      <c r="A9" s="6" t="inlineStr">
        <is>
          <t xml:space="preserve">  Redis Cache</t>
        </is>
      </c>
      <c r="B9" s="21" t="inlineStr">
        <is>
          <t>RAM + CPU × 60 min × hrs/mo</t>
        </is>
      </c>
      <c r="C9" s="22">
        <f>(Assumptions!$B$17*Assumptions!$B$7+Assumptions!$B$18*Assumptions!$B$8)*60*Assumptions!$B$9</f>
        <v/>
      </c>
      <c r="D9" s="22">
        <f>(Assumptions!$B$17*Assumptions!$B$7+Assumptions!$B$18*Assumptions!$B$8)*60*Assumptions!$B$9</f>
        <v/>
      </c>
      <c r="E9" s="22">
        <f>(Assumptions!$B$17*Assumptions!$B$7+Assumptions!$B$18*Assumptions!$B$8)*60*Assumptions!$B$9</f>
        <v/>
      </c>
      <c r="F9" s="22">
        <f>(Assumptions!$B$17*Assumptions!$B$7+Assumptions!$B$18*Assumptions!$B$8)*60*Assumptions!$B$9</f>
        <v/>
      </c>
      <c r="G9" s="22">
        <f>(Assumptions!$B$17*Assumptions!$B$7+Assumptions!$B$18*Assumptions!$B$8)*60*Assumptions!$B$9</f>
        <v/>
      </c>
      <c r="H9" s="22">
        <f>(Assumptions!$B$17*Assumptions!$B$7+Assumptions!$B$18*Assumptions!$B$8)*60*Assumptions!$B$9</f>
        <v/>
      </c>
      <c r="I9" s="23">
        <f>SUM(C9:H9)</f>
        <v/>
      </c>
    </row>
    <row r="10">
      <c r="A10" s="6" t="inlineStr">
        <is>
          <t xml:space="preserve">  Celery Worker</t>
        </is>
      </c>
      <c r="B10" s="21" t="inlineStr">
        <is>
          <t>RAM + CPU × 60 min × hrs/mo</t>
        </is>
      </c>
      <c r="C10" s="22">
        <f>(Assumptions!$B$13*Assumptions!$B$7+Assumptions!$B$14*Assumptions!$B$8)*60*Assumptions!$B$9</f>
        <v/>
      </c>
      <c r="D10" s="22">
        <f>(Assumptions!$B$13*Assumptions!$B$7+Assumptions!$B$14*Assumptions!$B$8)*60*Assumptions!$B$9</f>
        <v/>
      </c>
      <c r="E10" s="22">
        <f>(Assumptions!$B$13*Assumptions!$B$7+Assumptions!$B$14*Assumptions!$B$8)*60*Assumptions!$B$9</f>
        <v/>
      </c>
      <c r="F10" s="22">
        <f>(Assumptions!$B$13*Assumptions!$B$7+Assumptions!$B$14*Assumptions!$B$8)*60*Assumptions!$B$9</f>
        <v/>
      </c>
      <c r="G10" s="22">
        <f>(Assumptions!$B$13*Assumptions!$B$7+Assumptions!$B$14*Assumptions!$B$8)*60*Assumptions!$B$9</f>
        <v/>
      </c>
      <c r="H10" s="22">
        <f>(Assumptions!$B$13*Assumptions!$B$7+Assumptions!$B$14*Assumptions!$B$8)*60*Assumptions!$B$9</f>
        <v/>
      </c>
      <c r="I10" s="23">
        <f>SUM(C10:H10)</f>
        <v/>
      </c>
    </row>
    <row r="11">
      <c r="A11" s="6" t="inlineStr">
        <is>
          <t xml:space="preserve">  Network Egress</t>
        </is>
      </c>
      <c r="B11" s="21" t="inlineStr">
        <is>
          <t>MAX(0, GB - 100 GB free) × $0.10/GB</t>
        </is>
      </c>
      <c r="C11" s="22">
        <f>MAX(0,Assumptions!$B$22-Assumptions!$B$20)*Assumptions!$B$21</f>
        <v/>
      </c>
      <c r="D11" s="22">
        <f>MAX(0,(Assumptions!$B$22*(1+Assumptions!$B$23)^1)-Assumptions!$B$20)*Assumptions!$B$21</f>
        <v/>
      </c>
      <c r="E11" s="22">
        <f>MAX(0,(Assumptions!$B$22*(1+Assumptions!$B$23)^2)-Assumptions!$B$20)*Assumptions!$B$21</f>
        <v/>
      </c>
      <c r="F11" s="22">
        <f>MAX(0,(Assumptions!$B$22*(1+Assumptions!$B$23)^3)-Assumptions!$B$20)*Assumptions!$B$21</f>
        <v/>
      </c>
      <c r="G11" s="22">
        <f>MAX(0,(Assumptions!$B$22*(1+Assumptions!$B$23)^4)-Assumptions!$B$20)*Assumptions!$B$21</f>
        <v/>
      </c>
      <c r="H11" s="22">
        <f>MAX(0,(Assumptions!$B$22*(1+Assumptions!$B$23)^5)-Assumptions!$B$20)*Assumptions!$B$21</f>
        <v/>
      </c>
      <c r="I11" s="23">
        <f>SUM(C11:H11)</f>
        <v/>
      </c>
    </row>
    <row r="12">
      <c r="A12" s="3" t="inlineStr">
        <is>
          <t xml:space="preserve">  Subtotal — Railway Infrastructure</t>
        </is>
      </c>
      <c r="C12" s="24">
        <f>SUM(C6+C7+C8+C9+C10+C11)</f>
        <v/>
      </c>
      <c r="D12" s="24">
        <f>SUM(D6+D7+D8+D9+D10+D11)</f>
        <v/>
      </c>
      <c r="E12" s="24">
        <f>SUM(E6+E7+E8+E9+E10+E11)</f>
        <v/>
      </c>
      <c r="F12" s="24">
        <f>SUM(F6+F7+F8+F9+F10+F11)</f>
        <v/>
      </c>
      <c r="G12" s="24">
        <f>SUM(G6+G7+G8+G9+G10+G11)</f>
        <v/>
      </c>
      <c r="H12" s="24">
        <f>SUM(H6+H7+H8+H9+H10+H11)</f>
        <v/>
      </c>
      <c r="I12" s="24">
        <f>SUM(C12:H12)</f>
        <v/>
      </c>
    </row>
    <row r="14">
      <c r="A14" s="19" t="inlineStr">
        <is>
          <t>2.  APIs &amp; Third-Party Services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>
      <c r="A15" s="6" t="inlineStr">
        <is>
          <t xml:space="preserve">  Google Gemini API (Flash)</t>
        </is>
      </c>
      <c r="B15" s="21" t="inlineStr">
        <is>
          <t>MAX(0, analyses - 500 free) × token cost</t>
        </is>
      </c>
      <c r="C15" s="22">
        <f>MAX(0,Assumptions!$B$25-Assumptions!$B$33)*((Assumptions!$B$32*Assumptions!$B$30+(1-Assumptions!$B$32)*Assumptions!$B$31)/1000000*Assumptions!$B$29)</f>
        <v/>
      </c>
      <c r="D15" s="22">
        <f>MAX(0,(Assumptions!$B$25*(1+Assumptions!$B$26)^1)-Assumptions!$B$33)*((Assumptions!$B$32*Assumptions!$B$30+(1-Assumptions!$B$32)*Assumptions!$B$31)/1000000*Assumptions!$B$29)</f>
        <v/>
      </c>
      <c r="E15" s="22">
        <f>MAX(0,(Assumptions!$B$25*(1+Assumptions!$B$26)^2)-Assumptions!$B$33)*((Assumptions!$B$32*Assumptions!$B$30+(1-Assumptions!$B$32)*Assumptions!$B$31)/1000000*Assumptions!$B$29)</f>
        <v/>
      </c>
      <c r="F15" s="22">
        <f>MAX(0,(Assumptions!$B$25*(1+Assumptions!$B$26)^3)-Assumptions!$B$33)*((Assumptions!$B$32*Assumptions!$B$30+(1-Assumptions!$B$32)*Assumptions!$B$31)/1000000*Assumptions!$B$29)</f>
        <v/>
      </c>
      <c r="G15" s="22">
        <f>MAX(0,(Assumptions!$B$25*(1+Assumptions!$B$26)^4)-Assumptions!$B$33)*((Assumptions!$B$32*Assumptions!$B$30+(1-Assumptions!$B$32)*Assumptions!$B$31)/1000000*Assumptions!$B$29)</f>
        <v/>
      </c>
      <c r="H15" s="22">
        <f>MAX(0,(Assumptions!$B$25*(1+Assumptions!$B$26)^5)-Assumptions!$B$33)*((Assumptions!$B$32*Assumptions!$B$30+(1-Assumptions!$B$32)*Assumptions!$B$31)/1000000*Assumptions!$B$29)</f>
        <v/>
      </c>
      <c r="I15" s="23">
        <f>SUM(C15:H15)</f>
        <v/>
      </c>
    </row>
    <row r="16">
      <c r="A16" s="6" t="inlineStr">
        <is>
          <t xml:space="preserve">  Brevo SMTP (Email Alerts)</t>
        </is>
      </c>
      <c r="B16" s="21" t="inlineStr">
        <is>
          <t>Free ≤9,000 emails/mo; $25/mo if exceeded</t>
        </is>
      </c>
      <c r="C16" s="22">
        <f>IF(Assumptions!$B$27&gt;Assumptions!$B$39,Assumptions!$B$40,0)</f>
        <v/>
      </c>
      <c r="D16" s="22">
        <f>IF((Assumptions!$B$27*(1+Assumptions!$B$26)^1)&gt;Assumptions!$B$39,Assumptions!$B$40,0)</f>
        <v/>
      </c>
      <c r="E16" s="22">
        <f>IF((Assumptions!$B$27*(1+Assumptions!$B$26)^2)&gt;Assumptions!$B$39,Assumptions!$B$40,0)</f>
        <v/>
      </c>
      <c r="F16" s="22">
        <f>IF((Assumptions!$B$27*(1+Assumptions!$B$26)^3)&gt;Assumptions!$B$39,Assumptions!$B$40,0)</f>
        <v/>
      </c>
      <c r="G16" s="22">
        <f>IF((Assumptions!$B$27*(1+Assumptions!$B$26)^4)&gt;Assumptions!$B$39,Assumptions!$B$40,0)</f>
        <v/>
      </c>
      <c r="H16" s="22">
        <f>IF((Assumptions!$B$27*(1+Assumptions!$B$26)^5)&gt;Assumptions!$B$39,Assumptions!$B$40,0)</f>
        <v/>
      </c>
      <c r="I16" s="23">
        <f>SUM(C16:H16)</f>
        <v/>
      </c>
    </row>
    <row r="17">
      <c r="A17" s="3" t="inlineStr">
        <is>
          <t xml:space="preserve">  Subtotal — APIs &amp; Services</t>
        </is>
      </c>
      <c r="C17" s="24">
        <f>SUM(C15+C16)</f>
        <v/>
      </c>
      <c r="D17" s="24">
        <f>SUM(D15+D16)</f>
        <v/>
      </c>
      <c r="E17" s="24">
        <f>SUM(E15+E16)</f>
        <v/>
      </c>
      <c r="F17" s="24">
        <f>SUM(F15+F16)</f>
        <v/>
      </c>
      <c r="G17" s="24">
        <f>SUM(G15+G16)</f>
        <v/>
      </c>
      <c r="H17" s="24">
        <f>SUM(H15+H16)</f>
        <v/>
      </c>
      <c r="I17" s="24">
        <f>SUM(C17:H17)</f>
        <v/>
      </c>
    </row>
    <row r="19">
      <c r="A19" s="19" t="inlineStr">
        <is>
          <t>3.  File Storage (Cloudflare R2)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>
      <c r="A20" s="6" t="inlineStr">
        <is>
          <t xml:space="preserve">  Cloudflare R2 Storage</t>
        </is>
      </c>
      <c r="B20" s="21" t="inlineStr">
        <is>
          <t>Cumulative uploads over 10 GB free tier</t>
        </is>
      </c>
      <c r="C20" s="22">
        <f>MAX(0,((Assumptions!$B$25*((1+Assumptions!$B$26)^1-1)/Assumptions!$B$26)*Assumptions!$B$35/1024)-Assumptions!$B$36)*Assumptions!$B$37</f>
        <v/>
      </c>
      <c r="D20" s="22">
        <f>MAX(0,((Assumptions!$B$25*((1+Assumptions!$B$26)^2-1)/Assumptions!$B$26)*Assumptions!$B$35/1024)-Assumptions!$B$36)*Assumptions!$B$37</f>
        <v/>
      </c>
      <c r="E20" s="22">
        <f>MAX(0,((Assumptions!$B$25*((1+Assumptions!$B$26)^3-1)/Assumptions!$B$26)*Assumptions!$B$35/1024)-Assumptions!$B$36)*Assumptions!$B$37</f>
        <v/>
      </c>
      <c r="F20" s="22">
        <f>MAX(0,((Assumptions!$B$25*((1+Assumptions!$B$26)^4-1)/Assumptions!$B$26)*Assumptions!$B$35/1024)-Assumptions!$B$36)*Assumptions!$B$37</f>
        <v/>
      </c>
      <c r="G20" s="22">
        <f>MAX(0,((Assumptions!$B$25*((1+Assumptions!$B$26)^5-1)/Assumptions!$B$26)*Assumptions!$B$35/1024)-Assumptions!$B$36)*Assumptions!$B$37</f>
        <v/>
      </c>
      <c r="H20" s="22">
        <f>MAX(0,((Assumptions!$B$25*((1+Assumptions!$B$26)^6-1)/Assumptions!$B$26)*Assumptions!$B$35/1024)-Assumptions!$B$36)*Assumptions!$B$37</f>
        <v/>
      </c>
      <c r="I20" s="23">
        <f>SUM(C20:H20)</f>
        <v/>
      </c>
    </row>
    <row r="21">
      <c r="A21" s="3" t="inlineStr">
        <is>
          <t xml:space="preserve">  Subtotal — Storage</t>
        </is>
      </c>
      <c r="C21" s="24">
        <f>SUM(C20)</f>
        <v/>
      </c>
      <c r="D21" s="24">
        <f>SUM(D20)</f>
        <v/>
      </c>
      <c r="E21" s="24">
        <f>SUM(E20)</f>
        <v/>
      </c>
      <c r="F21" s="24">
        <f>SUM(F20)</f>
        <v/>
      </c>
      <c r="G21" s="24">
        <f>SUM(G20)</f>
        <v/>
      </c>
      <c r="H21" s="24">
        <f>SUM(H20)</f>
        <v/>
      </c>
      <c r="I21" s="24">
        <f>SUM(C21:H21)</f>
        <v/>
      </c>
    </row>
    <row r="23">
      <c r="A23" s="19" t="inlineStr">
        <is>
          <t>4.  Domain &amp; Miscellaneous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6" t="inlineStr">
        <is>
          <t xml:space="preserve">  Domain Registration</t>
        </is>
      </c>
      <c r="B24" s="21" t="inlineStr">
        <is>
          <t>Annual fee billed upfront in Month 1</t>
        </is>
      </c>
      <c r="C24" s="22">
        <f>Assumptions!$B$42</f>
        <v/>
      </c>
      <c r="D24" s="25">
        <f>0</f>
        <v/>
      </c>
      <c r="E24" s="25">
        <f>0</f>
        <v/>
      </c>
      <c r="F24" s="25">
        <f>0</f>
        <v/>
      </c>
      <c r="G24" s="25">
        <f>0</f>
        <v/>
      </c>
      <c r="H24" s="25">
        <f>0</f>
        <v/>
      </c>
      <c r="I24" s="23">
        <f>SUM(C24:H24)</f>
        <v/>
      </c>
    </row>
    <row r="25">
      <c r="A25" s="6" t="inlineStr">
        <is>
          <t xml:space="preserve">  Monitoring (Sentry)</t>
        </is>
      </c>
      <c r="B25" s="21" t="inlineStr">
        <is>
          <t>Free tier for hobby projects</t>
        </is>
      </c>
      <c r="C25" s="22">
        <f>Assumptions!$B$43</f>
        <v/>
      </c>
      <c r="D25" s="22">
        <f>Assumptions!$B$43</f>
        <v/>
      </c>
      <c r="E25" s="22">
        <f>Assumptions!$B$43</f>
        <v/>
      </c>
      <c r="F25" s="22">
        <f>Assumptions!$B$43</f>
        <v/>
      </c>
      <c r="G25" s="22">
        <f>Assumptions!$B$43</f>
        <v/>
      </c>
      <c r="H25" s="22">
        <f>Assumptions!$B$43</f>
        <v/>
      </c>
      <c r="I25" s="23">
        <f>SUM(C25:H25)</f>
        <v/>
      </c>
    </row>
    <row r="26">
      <c r="A26" s="3" t="inlineStr">
        <is>
          <t xml:space="preserve">  Subtotal — Domain &amp; Misc</t>
        </is>
      </c>
      <c r="C26" s="24">
        <f>SUM(C24+C25)</f>
        <v/>
      </c>
      <c r="D26" s="24">
        <f>SUM(D24+D25)</f>
        <v/>
      </c>
      <c r="E26" s="24">
        <f>SUM(E24+E25)</f>
        <v/>
      </c>
      <c r="F26" s="24">
        <f>SUM(F24+F25)</f>
        <v/>
      </c>
      <c r="G26" s="24">
        <f>SUM(G24+G25)</f>
        <v/>
      </c>
      <c r="H26" s="24">
        <f>SUM(H24+H25)</f>
        <v/>
      </c>
      <c r="I26" s="24">
        <f>SUM(C26:H26)</f>
        <v/>
      </c>
    </row>
    <row r="28">
      <c r="A28" s="26" t="inlineStr">
        <is>
          <t>TOTAL MONTHLY COST  ($)</t>
        </is>
      </c>
      <c r="B28" s="5" t="n"/>
      <c r="C28" s="27">
        <f>C12+C17+C21+C26</f>
        <v/>
      </c>
      <c r="D28" s="27">
        <f>D12+D17+D21+D26</f>
        <v/>
      </c>
      <c r="E28" s="27">
        <f>E12+E17+E21+E26</f>
        <v/>
      </c>
      <c r="F28" s="27">
        <f>F12+F17+F21+F26</f>
        <v/>
      </c>
      <c r="G28" s="27">
        <f>G12+G17+G21+G26</f>
        <v/>
      </c>
      <c r="H28" s="27">
        <f>H12+H17+H21+H26</f>
        <v/>
      </c>
      <c r="I28" s="27">
        <f>SUM(C28:H28)</f>
        <v/>
      </c>
    </row>
    <row r="29">
      <c r="A29" s="6" t="inlineStr">
        <is>
          <t xml:space="preserve">  Month-over-Month Change ($)</t>
        </is>
      </c>
      <c r="B29" s="21" t="inlineStr">
        <is>
          <t>Change vs. prior month</t>
        </is>
      </c>
      <c r="C29" s="28" t="inlineStr">
        <is>
          <t>—</t>
        </is>
      </c>
      <c r="D29" s="25">
        <f>D28-C28</f>
        <v/>
      </c>
      <c r="E29" s="25">
        <f>E28-D28</f>
        <v/>
      </c>
      <c r="F29" s="25">
        <f>F28-E28</f>
        <v/>
      </c>
      <c r="G29" s="25">
        <f>G28-F28</f>
        <v/>
      </c>
      <c r="H29" s="25">
        <f>H28-G28</f>
        <v/>
      </c>
    </row>
    <row r="30">
      <c r="A30" s="6" t="inlineStr">
        <is>
          <t xml:space="preserve">  Month-over-Month Change (%)</t>
        </is>
      </c>
      <c r="B30" s="21" t="inlineStr">
        <is>
          <t>% change vs. prior month</t>
        </is>
      </c>
      <c r="C30" s="28" t="inlineStr">
        <is>
          <t>—</t>
        </is>
      </c>
      <c r="D30" s="29">
        <f>IF(C28=0,0,(D28-C28)/C28)</f>
        <v/>
      </c>
      <c r="E30" s="29">
        <f>IF(D28=0,0,(E28-D28)/D28)</f>
        <v/>
      </c>
      <c r="F30" s="29">
        <f>IF(E28=0,0,(F28-E28)/E28)</f>
        <v/>
      </c>
      <c r="G30" s="29">
        <f>IF(F28=0,0,(G28-F28)/F28)</f>
        <v/>
      </c>
      <c r="H30" s="29">
        <f>IF(G28=0,0,(H28-G28)/G28)</f>
        <v/>
      </c>
    </row>
    <row r="32">
      <c r="A32" s="19" t="inlineStr">
        <is>
          <t>Usage Reference (non-cost)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>
      <c r="A33" s="6" t="inlineStr">
        <is>
          <t xml:space="preserve">  Label Analyses (volume)</t>
        </is>
      </c>
      <c r="B33" s="21" t="inlineStr">
        <is>
          <t>Monthly analyses estimate (20% MoM growth)</t>
        </is>
      </c>
      <c r="C33" s="30">
        <f>Assumptions!$B$25</f>
        <v/>
      </c>
      <c r="D33" s="30">
        <f>Assumptions!$B$25*(1+Assumptions!$B$26)^1</f>
        <v/>
      </c>
      <c r="E33" s="30">
        <f>Assumptions!$B$25*(1+Assumptions!$B$26)^2</f>
        <v/>
      </c>
      <c r="F33" s="30">
        <f>Assumptions!$B$25*(1+Assumptions!$B$26)^3</f>
        <v/>
      </c>
      <c r="G33" s="30">
        <f>Assumptions!$B$25*(1+Assumptions!$B$26)^4</f>
        <v/>
      </c>
      <c r="H33" s="30">
        <f>Assumptions!$B$25*(1+Assumptions!$B$26)^5</f>
        <v/>
      </c>
      <c r="I33" s="31">
        <f>SUM(C33:H33)</f>
        <v/>
      </c>
    </row>
    <row r="34">
      <c r="A34" s="6" t="inlineStr">
        <is>
          <t xml:space="preserve">  Cost per Analysis ($)</t>
        </is>
      </c>
      <c r="B34" s="21" t="inlineStr">
        <is>
          <t>Total cost ÷ analyses volume</t>
        </is>
      </c>
      <c r="C34" s="25">
        <f>IF(C33=0,0,C28/C33)</f>
        <v/>
      </c>
      <c r="D34" s="25">
        <f>IF(D33=0,0,D28/D33)</f>
        <v/>
      </c>
      <c r="E34" s="25">
        <f>IF(E33=0,0,E28/E33)</f>
        <v/>
      </c>
      <c r="F34" s="25">
        <f>IF(F33=0,0,F28/F33)</f>
        <v/>
      </c>
      <c r="G34" s="25">
        <f>IF(G33=0,0,G28/G33)</f>
        <v/>
      </c>
      <c r="H34" s="25">
        <f>IF(H33=0,0,H28/H33)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2026-03-17T05:34:07Z</dcterms:created>
  <dcterms:modified xmlns:dcterms="http://purl.org/dc/terms/" xmlns:xsi="http://www.w3.org/2001/XMLSchema-instance" xsi:type="dcterms:W3CDTF">2026-03-17T05:34:07Z</dcterms:modified>
</cp:coreProperties>
</file>